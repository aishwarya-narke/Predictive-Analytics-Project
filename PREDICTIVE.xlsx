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ad2971c5875266/Documents/"/>
    </mc:Choice>
  </mc:AlternateContent>
  <xr:revisionPtr revIDLastSave="68" documentId="8_{0A06B362-3DBB-4B06-A3CE-ABF8CCF05A89}" xr6:coauthVersionLast="47" xr6:coauthVersionMax="47" xr10:uidLastSave="{B47A4D3B-5660-48A4-8047-CBFE60C3140D}"/>
  <bookViews>
    <workbookView xWindow="-98" yWindow="-98" windowWidth="21795" windowHeight="12975" activeTab="1" xr2:uid="{7F041C1E-5D07-424E-951B-7610FB11F78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5" i="1"/>
  <c r="B3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7" i="1"/>
  <c r="D28" i="1"/>
  <c r="D26" i="1"/>
  <c r="D25" i="1"/>
  <c r="D2" i="1"/>
  <c r="B27" i="1"/>
  <c r="B28" i="1"/>
  <c r="B26" i="1"/>
  <c r="C26" i="2"/>
  <c r="C27" i="2"/>
  <c r="C28" i="2"/>
  <c r="C29" i="2"/>
  <c r="C30" i="2"/>
  <c r="C31" i="2"/>
  <c r="E31" i="2"/>
  <c r="D31" i="2"/>
  <c r="E30" i="2"/>
  <c r="D30" i="2"/>
  <c r="E29" i="2"/>
  <c r="D29" i="2"/>
  <c r="E28" i="2"/>
  <c r="D28" i="2"/>
  <c r="D27" i="2"/>
  <c r="E27" i="2"/>
  <c r="D26" i="2"/>
  <c r="E26" i="2"/>
  <c r="E29" i="1" l="1"/>
</calcChain>
</file>

<file path=xl/sharedStrings.xml><?xml version="1.0" encoding="utf-8"?>
<sst xmlns="http://schemas.openxmlformats.org/spreadsheetml/2006/main" count="21" uniqueCount="19">
  <si>
    <t>Date</t>
  </si>
  <si>
    <t>Sales</t>
  </si>
  <si>
    <t>Forecast(Sales)</t>
  </si>
  <si>
    <t>Lower Confidence Bound(Sales)</t>
  </si>
  <si>
    <t>Upper Confidence Bound(Sales)</t>
  </si>
  <si>
    <t>Predicted Sales</t>
  </si>
  <si>
    <t>Error</t>
  </si>
  <si>
    <t>Metric</t>
  </si>
  <si>
    <t>Formula</t>
  </si>
  <si>
    <t>Total Sales</t>
  </si>
  <si>
    <t>Average Sales</t>
  </si>
  <si>
    <t>Average Error</t>
  </si>
  <si>
    <t>Actual vs Predicted Sales Trend</t>
  </si>
  <si>
    <t>Month Number</t>
  </si>
  <si>
    <t>SUMMARY</t>
  </si>
  <si>
    <t>CONCLUSION</t>
  </si>
  <si>
    <t>Historical sales data shows an upward trend over time.</t>
  </si>
  <si>
    <t>Forecasting predicts continued growth in upcoming months.</t>
  </si>
  <si>
    <t>The prediction model has acceptable accuracy based on average error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</si>
</sst>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24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7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</cellXfs>
  <cellStyles count="1">
    <cellStyle name="Normal" xfId="0" builtinId="0"/>
  </cellStyles>
  <dxfs count="7">
    <dxf>
      <numFmt numFmtId="22" formatCode="mmm/yy"/>
    </dxf>
    <dxf>
      <numFmt numFmtId="0" formatCode="General"/>
    </dxf>
    <dxf>
      <numFmt numFmtId="0" formatCode="General"/>
    </dxf>
    <dxf>
      <numFmt numFmtId="22" formatCode="mmm/yy"/>
    </dxf>
    <dxf>
      <numFmt numFmtId="2" formatCode="0.00"/>
    </dxf>
    <dxf>
      <numFmt numFmtId="2" formatCode="0.00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Sheet2!$B$2:$B$31</c:f>
              <c:numCache>
                <c:formatCode>General</c:formatCode>
                <c:ptCount val="30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170</c:v>
                </c:pt>
                <c:pt idx="4">
                  <c:v>165</c:v>
                </c:pt>
                <c:pt idx="5">
                  <c:v>180</c:v>
                </c:pt>
                <c:pt idx="6">
                  <c:v>200</c:v>
                </c:pt>
                <c:pt idx="7">
                  <c:v>210</c:v>
                </c:pt>
                <c:pt idx="8">
                  <c:v>190</c:v>
                </c:pt>
                <c:pt idx="9">
                  <c:v>220</c:v>
                </c:pt>
                <c:pt idx="10">
                  <c:v>240</c:v>
                </c:pt>
                <c:pt idx="11">
                  <c:v>260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230</c:v>
                </c:pt>
                <c:pt idx="17">
                  <c:v>250</c:v>
                </c:pt>
                <c:pt idx="18">
                  <c:v>270</c:v>
                </c:pt>
                <c:pt idx="19">
                  <c:v>290</c:v>
                </c:pt>
                <c:pt idx="20">
                  <c:v>260</c:v>
                </c:pt>
                <c:pt idx="21">
                  <c:v>300</c:v>
                </c:pt>
                <c:pt idx="22">
                  <c:v>320</c:v>
                </c:pt>
                <c:pt idx="23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7C-472D-BD52-C730F6122470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Sheet2!$A$2:$A$31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Sheet2!$C$2:$C$31</c:f>
              <c:numCache>
                <c:formatCode>General</c:formatCode>
                <c:ptCount val="30"/>
                <c:pt idx="23">
                  <c:v>350</c:v>
                </c:pt>
                <c:pt idx="24">
                  <c:v>298.25081997935285</c:v>
                </c:pt>
                <c:pt idx="25">
                  <c:v>314.42060461313787</c:v>
                </c:pt>
                <c:pt idx="26">
                  <c:v>316.19320378577686</c:v>
                </c:pt>
                <c:pt idx="27">
                  <c:v>342.99400272021325</c:v>
                </c:pt>
                <c:pt idx="28">
                  <c:v>351.65692179859087</c:v>
                </c:pt>
                <c:pt idx="29">
                  <c:v>370.54854699855809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7C-472D-BD52-C730F6122470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Sheet2!$A$2:$A$31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Sheet2!$D$2:$D$31</c:f>
              <c:numCache>
                <c:formatCode>General</c:formatCode>
                <c:ptCount val="30"/>
                <c:pt idx="23" formatCode="0.00">
                  <c:v>350</c:v>
                </c:pt>
                <c:pt idx="24" formatCode="0.00">
                  <c:v>258.67211760674331</c:v>
                </c:pt>
                <c:pt idx="25" formatCode="0.00">
                  <c:v>274.52399654292071</c:v>
                </c:pt>
                <c:pt idx="26" formatCode="0.00">
                  <c:v>275.97623671581738</c:v>
                </c:pt>
                <c:pt idx="27" formatCode="0.00">
                  <c:v>302.45424286843269</c:v>
                </c:pt>
                <c:pt idx="28" formatCode="0.00">
                  <c:v>310.79195472338836</c:v>
                </c:pt>
                <c:pt idx="29" formatCode="0.00">
                  <c:v>329.35597741488687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7C-472D-BD52-C730F6122470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Sheet2!$A$2:$A$31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Sheet2!$E$2:$E$31</c:f>
              <c:numCache>
                <c:formatCode>General</c:formatCode>
                <c:ptCount val="30"/>
                <c:pt idx="23" formatCode="0.00">
                  <c:v>350</c:v>
                </c:pt>
                <c:pt idx="24" formatCode="0.00">
                  <c:v>337.8295223519624</c:v>
                </c:pt>
                <c:pt idx="25" formatCode="0.00">
                  <c:v>354.31721268335502</c:v>
                </c:pt>
                <c:pt idx="26" formatCode="0.00">
                  <c:v>356.41017085573634</c:v>
                </c:pt>
                <c:pt idx="27" formatCode="0.00">
                  <c:v>383.5337625719938</c:v>
                </c:pt>
                <c:pt idx="28" formatCode="0.00">
                  <c:v>392.52188887379339</c:v>
                </c:pt>
                <c:pt idx="29" formatCode="0.00">
                  <c:v>411.74111658222932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7C-472D-BD52-C730F6122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480607"/>
        <c:axId val="2068483487"/>
      </c:lineChart>
      <c:catAx>
        <c:axId val="206848060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83487"/>
        <c:crosses val="autoZero"/>
        <c:auto val="1"/>
        <c:lblAlgn val="ctr"/>
        <c:lblOffset val="100"/>
        <c:noMultiLvlLbl val="0"/>
      </c:catAx>
      <c:valAx>
        <c:axId val="206848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8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247594050743651E-2"/>
          <c:y val="7.407407407407407E-2"/>
          <c:w val="0.88673534558180223"/>
          <c:h val="0.77023804316127154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Sheet1!$A$2:$A$28</c:f>
              <c:numCache>
                <c:formatCode>mmm\-yy</c:formatCode>
                <c:ptCount val="2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</c:numCache>
            </c:numRef>
          </c:cat>
          <c:val>
            <c:numRef>
              <c:f>Sheet1!$B$2:$B$28</c:f>
              <c:numCache>
                <c:formatCode>General</c:formatCode>
                <c:ptCount val="27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170</c:v>
                </c:pt>
                <c:pt idx="4">
                  <c:v>165</c:v>
                </c:pt>
                <c:pt idx="5">
                  <c:v>180</c:v>
                </c:pt>
                <c:pt idx="6">
                  <c:v>200</c:v>
                </c:pt>
                <c:pt idx="7">
                  <c:v>210</c:v>
                </c:pt>
                <c:pt idx="8">
                  <c:v>190</c:v>
                </c:pt>
                <c:pt idx="9">
                  <c:v>220</c:v>
                </c:pt>
                <c:pt idx="10">
                  <c:v>240</c:v>
                </c:pt>
                <c:pt idx="11">
                  <c:v>260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230</c:v>
                </c:pt>
                <c:pt idx="17">
                  <c:v>250</c:v>
                </c:pt>
                <c:pt idx="18">
                  <c:v>270</c:v>
                </c:pt>
                <c:pt idx="19">
                  <c:v>290</c:v>
                </c:pt>
                <c:pt idx="20">
                  <c:v>260</c:v>
                </c:pt>
                <c:pt idx="21">
                  <c:v>300</c:v>
                </c:pt>
                <c:pt idx="22">
                  <c:v>320</c:v>
                </c:pt>
                <c:pt idx="23">
                  <c:v>350</c:v>
                </c:pt>
                <c:pt idx="24">
                  <c:v>310.31238732775819</c:v>
                </c:pt>
                <c:pt idx="25">
                  <c:v>318.04027135103388</c:v>
                </c:pt>
                <c:pt idx="26">
                  <c:v>325.76815537431139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E-43D0-BC66-3A5AC48D870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Month Number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Sheet1!$A$2:$A$28</c:f>
              <c:numCache>
                <c:formatCode>mmm\-yy</c:formatCode>
                <c:ptCount val="2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</c:numCache>
            </c:numRef>
          </c:cat>
          <c:val>
            <c:numRef>
              <c:f>Sheet1!$C$2:$C$28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BE-43D0-BC66-3A5AC48D870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Predicted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Sheet1!$A$2:$A$28</c:f>
              <c:numCache>
                <c:formatCode>mmm\-yy</c:formatCode>
                <c:ptCount val="2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</c:numCache>
            </c:numRef>
          </c:cat>
          <c:val>
            <c:numRef>
              <c:f>Sheet1!$D$2:$D$28</c:f>
              <c:numCache>
                <c:formatCode>General</c:formatCode>
                <c:ptCount val="27"/>
                <c:pt idx="0">
                  <c:v>135.51666666666665</c:v>
                </c:pt>
                <c:pt idx="1">
                  <c:v>143.11666666666665</c:v>
                </c:pt>
                <c:pt idx="2">
                  <c:v>150.71666666666664</c:v>
                </c:pt>
                <c:pt idx="3">
                  <c:v>158.31666666666666</c:v>
                </c:pt>
                <c:pt idx="4">
                  <c:v>165.91666666666666</c:v>
                </c:pt>
                <c:pt idx="5">
                  <c:v>173.51666666666665</c:v>
                </c:pt>
                <c:pt idx="6">
                  <c:v>181.11666666666665</c:v>
                </c:pt>
                <c:pt idx="7">
                  <c:v>188.71666666666664</c:v>
                </c:pt>
                <c:pt idx="8">
                  <c:v>196.31666666666666</c:v>
                </c:pt>
                <c:pt idx="9">
                  <c:v>203.91666666666666</c:v>
                </c:pt>
                <c:pt idx="10">
                  <c:v>211.51666666666665</c:v>
                </c:pt>
                <c:pt idx="11">
                  <c:v>219.11666666666665</c:v>
                </c:pt>
                <c:pt idx="12">
                  <c:v>226.71666666666664</c:v>
                </c:pt>
                <c:pt idx="13">
                  <c:v>234.31666666666666</c:v>
                </c:pt>
                <c:pt idx="14">
                  <c:v>241.91666666666666</c:v>
                </c:pt>
                <c:pt idx="15">
                  <c:v>249.51666666666665</c:v>
                </c:pt>
                <c:pt idx="16">
                  <c:v>257.11666666666667</c:v>
                </c:pt>
                <c:pt idx="17">
                  <c:v>264.71666666666664</c:v>
                </c:pt>
                <c:pt idx="18">
                  <c:v>272.31666666666666</c:v>
                </c:pt>
                <c:pt idx="19">
                  <c:v>279.91666666666663</c:v>
                </c:pt>
                <c:pt idx="20">
                  <c:v>287.51666666666665</c:v>
                </c:pt>
                <c:pt idx="21">
                  <c:v>295.11666666666667</c:v>
                </c:pt>
                <c:pt idx="22">
                  <c:v>302.71666666666664</c:v>
                </c:pt>
                <c:pt idx="23">
                  <c:v>310.31666666666661</c:v>
                </c:pt>
                <c:pt idx="24">
                  <c:v>317.91666666666663</c:v>
                </c:pt>
                <c:pt idx="25">
                  <c:v>325.51666666666665</c:v>
                </c:pt>
                <c:pt idx="26">
                  <c:v>333.11666666666667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BE-43D0-BC66-3A5AC48D8704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Sheet1!$A$2:$A$28</c:f>
              <c:numCache>
                <c:formatCode>mmm\-yy</c:formatCode>
                <c:ptCount val="2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</c:numCache>
            </c:numRef>
          </c:cat>
          <c:val>
            <c:numRef>
              <c:f>Sheet1!$E$2:$E$28</c:f>
              <c:numCache>
                <c:formatCode>General</c:formatCode>
                <c:ptCount val="27"/>
                <c:pt idx="0">
                  <c:v>15.516666666666652</c:v>
                </c:pt>
                <c:pt idx="1">
                  <c:v>8.1166666666666458</c:v>
                </c:pt>
                <c:pt idx="2">
                  <c:v>0.71666666666664014</c:v>
                </c:pt>
                <c:pt idx="3">
                  <c:v>11.683333333333337</c:v>
                </c:pt>
                <c:pt idx="4">
                  <c:v>0.91666666666665719</c:v>
                </c:pt>
                <c:pt idx="5">
                  <c:v>6.4833333333333485</c:v>
                </c:pt>
                <c:pt idx="6">
                  <c:v>18.883333333333354</c:v>
                </c:pt>
                <c:pt idx="7">
                  <c:v>21.28333333333336</c:v>
                </c:pt>
                <c:pt idx="8">
                  <c:v>6.3166666666666629</c:v>
                </c:pt>
                <c:pt idx="9">
                  <c:v>16.083333333333343</c:v>
                </c:pt>
                <c:pt idx="10">
                  <c:v>28.483333333333348</c:v>
                </c:pt>
                <c:pt idx="11">
                  <c:v>40.883333333333354</c:v>
                </c:pt>
                <c:pt idx="12">
                  <c:v>46.71666666666664</c:v>
                </c:pt>
                <c:pt idx="13">
                  <c:v>34.316666666666663</c:v>
                </c:pt>
                <c:pt idx="14">
                  <c:v>21.916666666666657</c:v>
                </c:pt>
                <c:pt idx="15">
                  <c:v>9.5166666666666515</c:v>
                </c:pt>
                <c:pt idx="16">
                  <c:v>27.116666666666674</c:v>
                </c:pt>
                <c:pt idx="17">
                  <c:v>14.71666666666664</c:v>
                </c:pt>
                <c:pt idx="18">
                  <c:v>2.3166666666666629</c:v>
                </c:pt>
                <c:pt idx="19">
                  <c:v>10.083333333333371</c:v>
                </c:pt>
                <c:pt idx="20">
                  <c:v>27.516666666666652</c:v>
                </c:pt>
                <c:pt idx="21">
                  <c:v>4.8833333333333258</c:v>
                </c:pt>
                <c:pt idx="22">
                  <c:v>17.28333333333336</c:v>
                </c:pt>
                <c:pt idx="23">
                  <c:v>39.683333333333394</c:v>
                </c:pt>
                <c:pt idx="24">
                  <c:v>7.6042793389084409</c:v>
                </c:pt>
                <c:pt idx="25">
                  <c:v>7.4763953156327716</c:v>
                </c:pt>
                <c:pt idx="26">
                  <c:v>7.3485112923552833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A5-4695-9479-0D8D2146F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66047"/>
        <c:axId val="42764127"/>
      </c:lineChart>
      <c:dateAx>
        <c:axId val="427660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4127"/>
        <c:crosses val="autoZero"/>
        <c:auto val="1"/>
        <c:lblOffset val="100"/>
        <c:baseTimeUnit val="months"/>
      </c:dateAx>
      <c:valAx>
        <c:axId val="4276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Sheet1!$B$2:$B$28</c:f>
              <c:numCache>
                <c:formatCode>General</c:formatCode>
                <c:ptCount val="27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170</c:v>
                </c:pt>
                <c:pt idx="4">
                  <c:v>165</c:v>
                </c:pt>
                <c:pt idx="5">
                  <c:v>180</c:v>
                </c:pt>
                <c:pt idx="6">
                  <c:v>200</c:v>
                </c:pt>
                <c:pt idx="7">
                  <c:v>210</c:v>
                </c:pt>
                <c:pt idx="8">
                  <c:v>190</c:v>
                </c:pt>
                <c:pt idx="9">
                  <c:v>220</c:v>
                </c:pt>
                <c:pt idx="10">
                  <c:v>240</c:v>
                </c:pt>
                <c:pt idx="11">
                  <c:v>260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230</c:v>
                </c:pt>
                <c:pt idx="17">
                  <c:v>250</c:v>
                </c:pt>
                <c:pt idx="18">
                  <c:v>270</c:v>
                </c:pt>
                <c:pt idx="19">
                  <c:v>290</c:v>
                </c:pt>
                <c:pt idx="20">
                  <c:v>260</c:v>
                </c:pt>
                <c:pt idx="21">
                  <c:v>300</c:v>
                </c:pt>
                <c:pt idx="22">
                  <c:v>320</c:v>
                </c:pt>
                <c:pt idx="23">
                  <c:v>350</c:v>
                </c:pt>
                <c:pt idx="24">
                  <c:v>310.31238732775819</c:v>
                </c:pt>
                <c:pt idx="25">
                  <c:v>318.04027135103388</c:v>
                </c:pt>
                <c:pt idx="26">
                  <c:v>325.76815537431139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5-4471-ABF2-A6F9937E8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4991599"/>
        <c:axId val="2054992079"/>
      </c:lineChart>
      <c:catAx>
        <c:axId val="2054991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992079"/>
        <c:crosses val="autoZero"/>
        <c:auto val="1"/>
        <c:lblAlgn val="ctr"/>
        <c:lblOffset val="100"/>
        <c:noMultiLvlLbl val="0"/>
      </c:catAx>
      <c:valAx>
        <c:axId val="205499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99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525123</xdr:colOff>
      <xdr:row>1</xdr:row>
      <xdr:rowOff>140153</xdr:rowOff>
    </xdr:from>
    <xdr:to>
      <xdr:col>7</xdr:col>
      <xdr:colOff>22679</xdr:colOff>
      <xdr:row>18</xdr:row>
      <xdr:rowOff>22679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FC475B-399E-0A26-BE07-6A2ADE54C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186133</xdr:colOff>
      <xdr:row>2</xdr:row>
      <xdr:rowOff>48203</xdr:rowOff>
    </xdr:from>
    <xdr:to>
      <xdr:col>12</xdr:col>
      <xdr:colOff>507583</xdr:colOff>
      <xdr:row>14</xdr:row>
      <xdr:rowOff>40328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AFDC1-9B3E-7DFA-6B45-8D336600D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185132</xdr:colOff>
      <xdr:row>15</xdr:row>
      <xdr:rowOff>2977</xdr:rowOff>
    </xdr:from>
    <xdr:to>
      <xdr:col>12</xdr:col>
      <xdr:colOff>457450</xdr:colOff>
      <xdr:row>29</xdr:row>
      <xdr:rowOff>122791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5544E3-0DF3-D855-68C2-0B0C33236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7FC9CE-4F48-4BA2-94EC-85FFF7919D01}" name="Table2" displayName="Table2" ref="A1:E31" totalsRowShown="0">
  <autoFilter ref="A1:E31" xr:uid="{B87FC9CE-4F48-4BA2-94EC-85FFF7919D01}"/>
  <tableColumns count="5">
    <tableColumn id="1" xr3:uid="{005967D0-A295-46CC-B10B-6A2DFF4B225A}" name="Date" dataDxfId="6"/>
    <tableColumn id="2" xr3:uid="{89B3012B-B23B-4AC3-B3A4-14E7230716DF}" name="Sales"/>
    <tableColumn id="3" xr3:uid="{E6F8D791-418D-4238-AA67-0EF61319EC64}" name="Forecast(Sales)">
      <calculatedColumnFormula>_xlfn.FORECAST.ETS(A2,$B$2:$B$25,$A$2:$A$25,6,1)</calculatedColumnFormula>
    </tableColumn>
    <tableColumn id="4" xr3:uid="{B7EF8C12-BB5F-4AB4-9C01-AA941F974D66}" name="Lower Confidence Bound(Sales)" dataDxfId="5">
      <calculatedColumnFormula>C2-_xlfn.FORECAST.ETS.CONFINT(A2,$B$2:$B$25,$A$2:$A$25,0.95,6,1)</calculatedColumnFormula>
    </tableColumn>
    <tableColumn id="5" xr3:uid="{FF958D21-9FC8-4AF7-B454-6B00FD0E22C0}" name="Upper Confidence Bound(Sales)" dataDxfId="4">
      <calculatedColumnFormula>C2+_xlfn.FORECAST.ETS.CONFINT(A2,$B$2:$B$25,$A$2:$A$25,0.95,6,1)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4D201-44E4-4602-8366-30D38AC07A0B}" name="Table1" displayName="Table1" ref="A1:E29" totalsRowCount="1">
  <autoFilter ref="A1:E28" xr:uid="{2134D201-44E4-4602-8366-30D38AC07A0B}"/>
  <tableColumns count="5">
    <tableColumn id="1" xr3:uid="{58D7A489-7A4F-489D-AFA8-8AB7ABB74E54}" name="Date" dataDxfId="3" totalsRowDxfId="0"/>
    <tableColumn id="2" xr3:uid="{4C572A23-A0EA-43BD-B8A8-0B29E131838F}" name="Sales"/>
    <tableColumn id="5" xr3:uid="{26F5322F-1C8A-4D44-A9C7-6959C7607319}" name="Month Number"/>
    <tableColumn id="3" xr3:uid="{DE794764-5E09-4850-9725-7520C5176688}" name="Predicted Sales" dataDxfId="2">
      <calculatedColumnFormula>_xlfn.FORECAST.LINEAR(C2,$B$2:$B$25,$C$2:$C$25)</calculatedColumnFormula>
    </tableColumn>
    <tableColumn id="4" xr3:uid="{C8AB192D-F0AA-4ACE-802B-17C7EE533444}" name="Error" totalsRowFunction="custom" dataDxfId="1">
      <calculatedColumnFormula>ABS(B2-D2)</calculatedColumnFormula>
      <totalsRowFormula>AVERAGE(E2:E25)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F405-59A9-4F33-8837-D8D0BB5DBF9F}">
  <dimension ref="A1:E31"/>
  <sheetViews>
    <sheetView topLeftCell="B1" zoomScale="80" zoomScaleNormal="80" workbookViewId="0">
      <selection activeCell="G24" sqref="G24"/>
    </sheetView>
  </sheetViews>
  <sheetFormatPr defaultRowHeight="14.25"/>
  <cols>
    <col min="3" max="3" width="15.1328125" customWidth="1"/>
    <col min="4" max="5" width="2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44927</v>
      </c>
      <c r="B2">
        <v>120</v>
      </c>
    </row>
    <row r="3" spans="1:5">
      <c r="A3" s="1">
        <v>44958</v>
      </c>
      <c r="B3">
        <v>135</v>
      </c>
    </row>
    <row r="4" spans="1:5">
      <c r="A4" s="1">
        <v>44986</v>
      </c>
      <c r="B4">
        <v>150</v>
      </c>
    </row>
    <row r="5" spans="1:5">
      <c r="A5" s="1">
        <v>45017</v>
      </c>
      <c r="B5">
        <v>170</v>
      </c>
    </row>
    <row r="6" spans="1:5">
      <c r="A6" s="1">
        <v>45047</v>
      </c>
      <c r="B6">
        <v>165</v>
      </c>
    </row>
    <row r="7" spans="1:5">
      <c r="A7" s="1">
        <v>45078</v>
      </c>
      <c r="B7">
        <v>180</v>
      </c>
    </row>
    <row r="8" spans="1:5">
      <c r="A8" s="1">
        <v>45108</v>
      </c>
      <c r="B8">
        <v>200</v>
      </c>
    </row>
    <row r="9" spans="1:5">
      <c r="A9" s="1">
        <v>45139</v>
      </c>
      <c r="B9">
        <v>210</v>
      </c>
    </row>
    <row r="10" spans="1:5">
      <c r="A10" s="1">
        <v>45170</v>
      </c>
      <c r="B10">
        <v>190</v>
      </c>
    </row>
    <row r="11" spans="1:5">
      <c r="A11" s="1">
        <v>45200</v>
      </c>
      <c r="B11">
        <v>220</v>
      </c>
    </row>
    <row r="12" spans="1:5">
      <c r="A12" s="1">
        <v>45231</v>
      </c>
      <c r="B12">
        <v>240</v>
      </c>
    </row>
    <row r="13" spans="1:5">
      <c r="A13" s="1">
        <v>45261</v>
      </c>
      <c r="B13">
        <v>260</v>
      </c>
    </row>
    <row r="14" spans="1:5">
      <c r="A14" s="1">
        <v>45292</v>
      </c>
      <c r="B14">
        <v>180</v>
      </c>
    </row>
    <row r="15" spans="1:5">
      <c r="A15" s="1">
        <v>45323</v>
      </c>
      <c r="B15">
        <v>200</v>
      </c>
    </row>
    <row r="16" spans="1:5">
      <c r="A16" s="1">
        <v>45352</v>
      </c>
      <c r="B16">
        <v>220</v>
      </c>
    </row>
    <row r="17" spans="1:5">
      <c r="A17" s="1">
        <v>45383</v>
      </c>
      <c r="B17">
        <v>240</v>
      </c>
    </row>
    <row r="18" spans="1:5">
      <c r="A18" s="1">
        <v>45413</v>
      </c>
      <c r="B18">
        <v>230</v>
      </c>
    </row>
    <row r="19" spans="1:5">
      <c r="A19" s="1">
        <v>45444</v>
      </c>
      <c r="B19">
        <v>250</v>
      </c>
    </row>
    <row r="20" spans="1:5">
      <c r="A20" s="1">
        <v>45474</v>
      </c>
      <c r="B20">
        <v>270</v>
      </c>
    </row>
    <row r="21" spans="1:5">
      <c r="A21" s="1">
        <v>45505</v>
      </c>
      <c r="B21">
        <v>290</v>
      </c>
    </row>
    <row r="22" spans="1:5">
      <c r="A22" s="1">
        <v>45536</v>
      </c>
      <c r="B22">
        <v>260</v>
      </c>
    </row>
    <row r="23" spans="1:5">
      <c r="A23" s="1">
        <v>45566</v>
      </c>
      <c r="B23">
        <v>300</v>
      </c>
    </row>
    <row r="24" spans="1:5">
      <c r="A24" s="1">
        <v>45597</v>
      </c>
      <c r="B24">
        <v>320</v>
      </c>
    </row>
    <row r="25" spans="1:5">
      <c r="A25" s="1">
        <v>45627</v>
      </c>
      <c r="B25">
        <v>350</v>
      </c>
      <c r="C25">
        <v>350</v>
      </c>
      <c r="D25" s="2">
        <v>350</v>
      </c>
      <c r="E25" s="2">
        <v>350</v>
      </c>
    </row>
    <row r="26" spans="1:5">
      <c r="A26" s="1">
        <v>45658</v>
      </c>
      <c r="C26">
        <f t="shared" ref="C26:C31" si="0">_xlfn.FORECAST.ETS(A26,$B$2:$B$25,$A$2:$A$25,6,1)</f>
        <v>298.25081997935285</v>
      </c>
      <c r="D26" s="2">
        <f t="shared" ref="D26:D31" si="1">C26-_xlfn.FORECAST.ETS.CONFINT(A26,$B$2:$B$25,$A$2:$A$25,0.95,6,1)</f>
        <v>258.67211760674331</v>
      </c>
      <c r="E26" s="2">
        <f t="shared" ref="E26:E31" si="2">C26+_xlfn.FORECAST.ETS.CONFINT(A26,$B$2:$B$25,$A$2:$A$25,0.95,6,1)</f>
        <v>337.8295223519624</v>
      </c>
    </row>
    <row r="27" spans="1:5">
      <c r="A27" s="1">
        <v>45689</v>
      </c>
      <c r="C27">
        <f t="shared" si="0"/>
        <v>314.42060461313787</v>
      </c>
      <c r="D27" s="2">
        <f t="shared" si="1"/>
        <v>274.52399654292071</v>
      </c>
      <c r="E27" s="2">
        <f t="shared" si="2"/>
        <v>354.31721268335502</v>
      </c>
    </row>
    <row r="28" spans="1:5">
      <c r="A28" s="1">
        <v>45717</v>
      </c>
      <c r="C28">
        <f t="shared" si="0"/>
        <v>316.19320378577686</v>
      </c>
      <c r="D28" s="2">
        <f t="shared" si="1"/>
        <v>275.97623671581738</v>
      </c>
      <c r="E28" s="2">
        <f t="shared" si="2"/>
        <v>356.41017085573634</v>
      </c>
    </row>
    <row r="29" spans="1:5">
      <c r="A29" s="1">
        <v>45748</v>
      </c>
      <c r="C29">
        <f t="shared" si="0"/>
        <v>342.99400272021325</v>
      </c>
      <c r="D29" s="2">
        <f t="shared" si="1"/>
        <v>302.45424286843269</v>
      </c>
      <c r="E29" s="2">
        <f t="shared" si="2"/>
        <v>383.5337625719938</v>
      </c>
    </row>
    <row r="30" spans="1:5">
      <c r="A30" s="1">
        <v>45778</v>
      </c>
      <c r="C30">
        <f t="shared" si="0"/>
        <v>351.65692179859087</v>
      </c>
      <c r="D30" s="2">
        <f t="shared" si="1"/>
        <v>310.79195472338836</v>
      </c>
      <c r="E30" s="2">
        <f t="shared" si="2"/>
        <v>392.52188887379339</v>
      </c>
    </row>
    <row r="31" spans="1:5">
      <c r="A31" s="1">
        <v>45809</v>
      </c>
      <c r="C31">
        <f t="shared" si="0"/>
        <v>370.54854699855809</v>
      </c>
      <c r="D31" s="2">
        <f t="shared" si="1"/>
        <v>329.35597741488687</v>
      </c>
      <c r="E31" s="2">
        <f t="shared" si="2"/>
        <v>411.74111658222932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82FB-F9C7-4F0B-AF39-E1482E4E3599}">
  <dimension ref="A1:Q38"/>
  <sheetViews>
    <sheetView tabSelected="1" zoomScale="80" zoomScaleNormal="80" workbookViewId="0">
      <selection activeCell="D32" sqref="D32"/>
    </sheetView>
  </sheetViews>
  <sheetFormatPr defaultRowHeight="14.25"/>
  <cols>
    <col min="1" max="1" width="12" bestFit="1" customWidth="1"/>
    <col min="3" max="3" width="15.46484375" bestFit="1" customWidth="1"/>
    <col min="4" max="4" width="16" bestFit="1" customWidth="1"/>
    <col min="21" max="21" width="0" hidden="1" customWidth="1"/>
  </cols>
  <sheetData>
    <row r="1" spans="1:17">
      <c r="A1" t="s">
        <v>0</v>
      </c>
      <c r="B1" t="s">
        <v>1</v>
      </c>
      <c r="C1" t="s">
        <v>13</v>
      </c>
      <c r="D1" t="s">
        <v>5</v>
      </c>
      <c r="E1" t="s">
        <v>6</v>
      </c>
      <c r="I1" s="6"/>
      <c r="J1" s="6"/>
      <c r="K1" s="6"/>
    </row>
    <row r="2" spans="1:17" ht="14.25" customHeight="1">
      <c r="A2" s="12">
        <v>44927</v>
      </c>
      <c r="B2" s="11">
        <v>120</v>
      </c>
      <c r="C2" s="11">
        <v>1</v>
      </c>
      <c r="D2" s="11">
        <f>_xlfn.FORECAST.LINEAR(C2,$B$2:$B$25,$C$2:$C$25)</f>
        <v>135.51666666666665</v>
      </c>
      <c r="E2" s="11">
        <f>ABS(B2-D2)</f>
        <v>15.516666666666652</v>
      </c>
      <c r="G2" s="7"/>
      <c r="H2" s="6" t="s">
        <v>12</v>
      </c>
    </row>
    <row r="3" spans="1:17" ht="19.5">
      <c r="A3" s="12">
        <v>44958</v>
      </c>
      <c r="B3" s="11">
        <v>135</v>
      </c>
      <c r="C3" s="11">
        <v>2</v>
      </c>
      <c r="D3" s="11">
        <f t="shared" ref="D3:D28" si="0">_xlfn.FORECAST.LINEAR(C3,$B$2:$B$25,$C$2:$C$25)</f>
        <v>143.11666666666665</v>
      </c>
      <c r="E3" s="11">
        <f t="shared" ref="E3:E28" si="1">ABS(B3-D3)</f>
        <v>8.1166666666666458</v>
      </c>
      <c r="K3" s="9"/>
      <c r="L3" s="8"/>
      <c r="N3" s="10"/>
      <c r="O3" s="10"/>
      <c r="P3" s="10"/>
      <c r="Q3" s="10"/>
    </row>
    <row r="4" spans="1:17">
      <c r="A4" s="1">
        <v>44986</v>
      </c>
      <c r="B4">
        <v>150</v>
      </c>
      <c r="C4">
        <v>3</v>
      </c>
      <c r="D4" s="11">
        <f t="shared" si="0"/>
        <v>150.71666666666664</v>
      </c>
      <c r="E4" s="11">
        <f t="shared" si="1"/>
        <v>0.71666666666664014</v>
      </c>
    </row>
    <row r="5" spans="1:17">
      <c r="A5" s="1">
        <v>45017</v>
      </c>
      <c r="B5">
        <v>170</v>
      </c>
      <c r="C5">
        <v>4</v>
      </c>
      <c r="D5" s="11">
        <f t="shared" si="0"/>
        <v>158.31666666666666</v>
      </c>
      <c r="E5" s="11">
        <f t="shared" si="1"/>
        <v>11.683333333333337</v>
      </c>
    </row>
    <row r="6" spans="1:17">
      <c r="A6" s="1">
        <v>45047</v>
      </c>
      <c r="B6">
        <v>165</v>
      </c>
      <c r="C6">
        <v>5</v>
      </c>
      <c r="D6" s="11">
        <f t="shared" si="0"/>
        <v>165.91666666666666</v>
      </c>
      <c r="E6" s="11">
        <f t="shared" si="1"/>
        <v>0.91666666666665719</v>
      </c>
    </row>
    <row r="7" spans="1:17">
      <c r="A7" s="1">
        <v>45078</v>
      </c>
      <c r="B7">
        <v>180</v>
      </c>
      <c r="C7">
        <v>6</v>
      </c>
      <c r="D7" s="11">
        <f t="shared" si="0"/>
        <v>173.51666666666665</v>
      </c>
      <c r="E7" s="11">
        <f t="shared" si="1"/>
        <v>6.4833333333333485</v>
      </c>
    </row>
    <row r="8" spans="1:17">
      <c r="A8" s="1">
        <v>45108</v>
      </c>
      <c r="B8">
        <v>200</v>
      </c>
      <c r="C8">
        <v>7</v>
      </c>
      <c r="D8" s="11">
        <f t="shared" si="0"/>
        <v>181.11666666666665</v>
      </c>
      <c r="E8" s="11">
        <f t="shared" si="1"/>
        <v>18.883333333333354</v>
      </c>
    </row>
    <row r="9" spans="1:17">
      <c r="A9" s="1">
        <v>45139</v>
      </c>
      <c r="B9">
        <v>210</v>
      </c>
      <c r="C9">
        <v>8</v>
      </c>
      <c r="D9" s="11">
        <f t="shared" si="0"/>
        <v>188.71666666666664</v>
      </c>
      <c r="E9" s="11">
        <f t="shared" si="1"/>
        <v>21.28333333333336</v>
      </c>
    </row>
    <row r="10" spans="1:17">
      <c r="A10" s="1">
        <v>45170</v>
      </c>
      <c r="B10">
        <v>190</v>
      </c>
      <c r="C10">
        <v>9</v>
      </c>
      <c r="D10" s="11">
        <f t="shared" si="0"/>
        <v>196.31666666666666</v>
      </c>
      <c r="E10" s="11">
        <f t="shared" si="1"/>
        <v>6.3166666666666629</v>
      </c>
    </row>
    <row r="11" spans="1:17">
      <c r="A11" s="1">
        <v>45200</v>
      </c>
      <c r="B11">
        <v>220</v>
      </c>
      <c r="C11">
        <v>10</v>
      </c>
      <c r="D11" s="11">
        <f t="shared" si="0"/>
        <v>203.91666666666666</v>
      </c>
      <c r="E11" s="11">
        <f t="shared" si="1"/>
        <v>16.083333333333343</v>
      </c>
    </row>
    <row r="12" spans="1:17">
      <c r="A12" s="1">
        <v>45231</v>
      </c>
      <c r="B12">
        <v>240</v>
      </c>
      <c r="C12">
        <v>11</v>
      </c>
      <c r="D12" s="11">
        <f t="shared" si="0"/>
        <v>211.51666666666665</v>
      </c>
      <c r="E12" s="11">
        <f t="shared" si="1"/>
        <v>28.483333333333348</v>
      </c>
    </row>
    <row r="13" spans="1:17">
      <c r="A13" s="1">
        <v>45261</v>
      </c>
      <c r="B13">
        <v>260</v>
      </c>
      <c r="C13">
        <v>12</v>
      </c>
      <c r="D13" s="11">
        <f t="shared" si="0"/>
        <v>219.11666666666665</v>
      </c>
      <c r="E13" s="11">
        <f t="shared" si="1"/>
        <v>40.883333333333354</v>
      </c>
    </row>
    <row r="14" spans="1:17">
      <c r="A14" s="1">
        <v>45292</v>
      </c>
      <c r="B14">
        <v>180</v>
      </c>
      <c r="C14">
        <v>13</v>
      </c>
      <c r="D14" s="11">
        <f t="shared" si="0"/>
        <v>226.71666666666664</v>
      </c>
      <c r="E14" s="11">
        <f t="shared" si="1"/>
        <v>46.71666666666664</v>
      </c>
    </row>
    <row r="15" spans="1:17">
      <c r="A15" s="1">
        <v>45323</v>
      </c>
      <c r="B15">
        <v>200</v>
      </c>
      <c r="C15">
        <v>14</v>
      </c>
      <c r="D15" s="11">
        <f t="shared" si="0"/>
        <v>234.31666666666666</v>
      </c>
      <c r="E15" s="11">
        <f t="shared" si="1"/>
        <v>34.316666666666663</v>
      </c>
    </row>
    <row r="16" spans="1:17">
      <c r="A16" s="1">
        <v>45352</v>
      </c>
      <c r="B16">
        <v>220</v>
      </c>
      <c r="C16">
        <v>15</v>
      </c>
      <c r="D16" s="11">
        <f t="shared" si="0"/>
        <v>241.91666666666666</v>
      </c>
      <c r="E16" s="11">
        <f t="shared" si="1"/>
        <v>21.916666666666657</v>
      </c>
    </row>
    <row r="17" spans="1:5">
      <c r="A17" s="1">
        <v>45383</v>
      </c>
      <c r="B17">
        <v>240</v>
      </c>
      <c r="C17">
        <v>16</v>
      </c>
      <c r="D17" s="11">
        <f t="shared" si="0"/>
        <v>249.51666666666665</v>
      </c>
      <c r="E17" s="11">
        <f t="shared" si="1"/>
        <v>9.5166666666666515</v>
      </c>
    </row>
    <row r="18" spans="1:5">
      <c r="A18" s="1">
        <v>45413</v>
      </c>
      <c r="B18">
        <v>230</v>
      </c>
      <c r="C18">
        <v>17</v>
      </c>
      <c r="D18" s="11">
        <f t="shared" si="0"/>
        <v>257.11666666666667</v>
      </c>
      <c r="E18" s="11">
        <f t="shared" si="1"/>
        <v>27.116666666666674</v>
      </c>
    </row>
    <row r="19" spans="1:5">
      <c r="A19" s="1">
        <v>45444</v>
      </c>
      <c r="B19">
        <v>250</v>
      </c>
      <c r="C19">
        <v>18</v>
      </c>
      <c r="D19" s="11">
        <f t="shared" si="0"/>
        <v>264.71666666666664</v>
      </c>
      <c r="E19" s="11">
        <f t="shared" si="1"/>
        <v>14.71666666666664</v>
      </c>
    </row>
    <row r="20" spans="1:5">
      <c r="A20" s="1">
        <v>45474</v>
      </c>
      <c r="B20">
        <v>270</v>
      </c>
      <c r="C20">
        <v>19</v>
      </c>
      <c r="D20" s="11">
        <f t="shared" si="0"/>
        <v>272.31666666666666</v>
      </c>
      <c r="E20" s="11">
        <f t="shared" si="1"/>
        <v>2.3166666666666629</v>
      </c>
    </row>
    <row r="21" spans="1:5">
      <c r="A21" s="1">
        <v>45505</v>
      </c>
      <c r="B21">
        <v>290</v>
      </c>
      <c r="C21">
        <v>20</v>
      </c>
      <c r="D21" s="11">
        <f t="shared" si="0"/>
        <v>279.91666666666663</v>
      </c>
      <c r="E21" s="11">
        <f t="shared" si="1"/>
        <v>10.083333333333371</v>
      </c>
    </row>
    <row r="22" spans="1:5">
      <c r="A22" s="1">
        <v>45536</v>
      </c>
      <c r="B22">
        <v>260</v>
      </c>
      <c r="C22">
        <v>21</v>
      </c>
      <c r="D22" s="11">
        <f t="shared" si="0"/>
        <v>287.51666666666665</v>
      </c>
      <c r="E22" s="11">
        <f t="shared" si="1"/>
        <v>27.516666666666652</v>
      </c>
    </row>
    <row r="23" spans="1:5">
      <c r="A23" s="1">
        <v>45566</v>
      </c>
      <c r="B23">
        <v>300</v>
      </c>
      <c r="C23">
        <v>22</v>
      </c>
      <c r="D23" s="11">
        <f t="shared" si="0"/>
        <v>295.11666666666667</v>
      </c>
      <c r="E23" s="11">
        <f t="shared" si="1"/>
        <v>4.8833333333333258</v>
      </c>
    </row>
    <row r="24" spans="1:5">
      <c r="A24" s="1">
        <v>45597</v>
      </c>
      <c r="B24">
        <v>320</v>
      </c>
      <c r="C24">
        <v>23</v>
      </c>
      <c r="D24" s="11">
        <f t="shared" si="0"/>
        <v>302.71666666666664</v>
      </c>
      <c r="E24" s="11">
        <f t="shared" si="1"/>
        <v>17.28333333333336</v>
      </c>
    </row>
    <row r="25" spans="1:5">
      <c r="A25" s="1">
        <v>45627</v>
      </c>
      <c r="B25">
        <v>350</v>
      </c>
      <c r="C25">
        <v>24</v>
      </c>
      <c r="D25" s="11">
        <f t="shared" si="0"/>
        <v>310.31666666666661</v>
      </c>
      <c r="E25" s="11">
        <f t="shared" si="1"/>
        <v>39.683333333333394</v>
      </c>
    </row>
    <row r="26" spans="1:5">
      <c r="A26" s="1">
        <v>45658</v>
      </c>
      <c r="B26">
        <f>_xlfn.FORECAST.LINEAR(A25,$B$2:$B$25,$A$2:$A$25)</f>
        <v>310.31238732775819</v>
      </c>
      <c r="C26">
        <v>25</v>
      </c>
      <c r="D26" s="11">
        <f>_xlfn.FORECAST.LINEAR(C26,$B$2:$B$25,$C$2:$C$25)</f>
        <v>317.91666666666663</v>
      </c>
      <c r="E26" s="11">
        <f t="shared" si="1"/>
        <v>7.6042793389084409</v>
      </c>
    </row>
    <row r="27" spans="1:5">
      <c r="A27" s="1">
        <v>45689</v>
      </c>
      <c r="B27">
        <f t="shared" ref="B27:B28" si="2">_xlfn.FORECAST.LINEAR(A26,$B$2:$B$25,$A$2:$A$25)</f>
        <v>318.04027135103388</v>
      </c>
      <c r="C27">
        <v>26</v>
      </c>
      <c r="D27" s="11">
        <f t="shared" ref="D27:D28" si="3">_xlfn.FORECAST.LINEAR(C27,$B$2:$B$25,$C$2:$C$25)</f>
        <v>325.51666666666665</v>
      </c>
      <c r="E27" s="11">
        <f t="shared" si="1"/>
        <v>7.4763953156327716</v>
      </c>
    </row>
    <row r="28" spans="1:5">
      <c r="A28" s="1">
        <v>45717</v>
      </c>
      <c r="B28">
        <f t="shared" si="2"/>
        <v>325.76815537431139</v>
      </c>
      <c r="C28">
        <v>27</v>
      </c>
      <c r="D28" s="11">
        <f t="shared" si="3"/>
        <v>333.11666666666667</v>
      </c>
      <c r="E28" s="11">
        <f t="shared" si="1"/>
        <v>7.3485112923552833</v>
      </c>
    </row>
    <row r="29" spans="1:5">
      <c r="A29" s="1"/>
      <c r="E29">
        <f>AVERAGE(E2:E25)</f>
        <v>17.976388888888888</v>
      </c>
    </row>
    <row r="32" spans="1:5">
      <c r="A32" s="6" t="s">
        <v>14</v>
      </c>
      <c r="D32" s="6" t="s">
        <v>15</v>
      </c>
    </row>
    <row r="33" spans="1:4">
      <c r="A33" s="3" t="s">
        <v>7</v>
      </c>
      <c r="B33" s="3" t="s">
        <v>8</v>
      </c>
      <c r="D33" t="s">
        <v>16</v>
      </c>
    </row>
    <row r="34" spans="1:4">
      <c r="A34" s="4" t="s">
        <v>9</v>
      </c>
      <c r="B34" s="5">
        <f>SUM(B2:B25)</f>
        <v>5350</v>
      </c>
      <c r="D34" t="s">
        <v>17</v>
      </c>
    </row>
    <row r="35" spans="1:4">
      <c r="A35" s="4" t="s">
        <v>10</v>
      </c>
      <c r="B35" s="5">
        <f>AVERAGE(B2:B25)</f>
        <v>222.91666666666666</v>
      </c>
      <c r="D35" t="s">
        <v>18</v>
      </c>
    </row>
    <row r="36" spans="1:4">
      <c r="A36" s="4" t="s">
        <v>11</v>
      </c>
      <c r="B36" s="5">
        <f>AVERAGE(E2:E25)</f>
        <v>17.976388888888888</v>
      </c>
    </row>
    <row r="37" spans="1:4">
      <c r="A37" s="4"/>
      <c r="B37" s="5"/>
    </row>
    <row r="38" spans="1:4">
      <c r="A38" s="4"/>
      <c r="B38" s="5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Narke</dc:creator>
  <cp:lastModifiedBy>Aishwarya Narke</cp:lastModifiedBy>
  <dcterms:created xsi:type="dcterms:W3CDTF">2026-05-21T08:28:22Z</dcterms:created>
  <dcterms:modified xsi:type="dcterms:W3CDTF">2026-05-21T09:08:27Z</dcterms:modified>
</cp:coreProperties>
</file>